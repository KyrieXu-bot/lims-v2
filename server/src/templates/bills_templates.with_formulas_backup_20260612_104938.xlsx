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<sst xmlns="http://schemas.openxmlformats.org/spreadsheetml/2006/main" count="94" uniqueCount="47">
  <si>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r>
      <rPr>
        <b/>
        <sz val="26"/>
        <color theme="1"/>
        <rFont val="宋体"/>
        <charset val="134"/>
      </rPr>
      <t>测</t>
    </r>
    <r>
      <rPr>
        <b/>
        <sz val="26"/>
        <color theme="1"/>
        <rFont val="Times New Roman"/>
        <charset val="134"/>
      </rPr>
      <t xml:space="preserve">  </t>
    </r>
    <r>
      <rPr>
        <b/>
        <sz val="26"/>
        <color theme="1"/>
        <rFont val="宋体"/>
        <charset val="134"/>
      </rPr>
      <t xml:space="preserve">试 </t>
    </r>
    <r>
      <rPr>
        <b/>
        <sz val="26"/>
        <color theme="1"/>
        <rFont val="Times New Roman"/>
        <charset val="134"/>
      </rPr>
      <t xml:space="preserve"> </t>
    </r>
    <r>
      <rPr>
        <b/>
        <sz val="26"/>
        <color theme="1"/>
        <rFont val="宋体"/>
        <charset val="134"/>
      </rPr>
      <t>服</t>
    </r>
    <r>
      <rPr>
        <b/>
        <sz val="26"/>
        <color theme="1"/>
        <rFont val="Times New Roman"/>
        <charset val="134"/>
      </rPr>
      <t xml:space="preserve">  </t>
    </r>
    <r>
      <rPr>
        <b/>
        <sz val="26"/>
        <color theme="1"/>
        <rFont val="宋体"/>
        <charset val="134"/>
      </rPr>
      <t xml:space="preserve">务 </t>
    </r>
    <r>
      <rPr>
        <b/>
        <sz val="26"/>
        <color theme="1"/>
        <rFont val="Times New Roman"/>
        <charset val="134"/>
      </rPr>
      <t xml:space="preserve"> </t>
    </r>
    <r>
      <rPr>
        <b/>
        <sz val="26"/>
        <color theme="1"/>
        <rFont val="宋体"/>
        <charset val="134"/>
      </rPr>
      <t xml:space="preserve">清 </t>
    </r>
    <r>
      <rPr>
        <b/>
        <sz val="26"/>
        <color theme="1"/>
        <rFont val="Times New Roman"/>
        <charset val="134"/>
      </rPr>
      <t xml:space="preserve"> </t>
    </r>
    <r>
      <rPr>
        <b/>
        <sz val="26"/>
        <color theme="1"/>
        <rFont val="宋体"/>
        <charset val="134"/>
      </rPr>
      <t>单</t>
    </r>
  </si>
  <si>
    <r>
      <rPr>
        <b/>
        <sz val="13"/>
        <color theme="1"/>
        <rFont val="宋体"/>
        <charset val="134"/>
      </rPr>
      <t>甲</t>
    </r>
    <r>
      <rPr>
        <b/>
        <sz val="13"/>
        <color theme="1"/>
        <rFont val="Times New Roman"/>
        <charset val="134"/>
      </rPr>
      <t xml:space="preserve">  </t>
    </r>
    <r>
      <rPr>
        <b/>
        <sz val="13"/>
        <color theme="1"/>
        <rFont val="宋体"/>
        <charset val="134"/>
      </rPr>
      <t>方 ：</t>
    </r>
  </si>
  <si>
    <t>北京钢研高纳科技股份有限公司</t>
  </si>
  <si>
    <r>
      <rPr>
        <b/>
        <sz val="13"/>
        <color theme="1"/>
        <rFont val="宋体"/>
        <charset val="134"/>
      </rPr>
      <t>乙</t>
    </r>
    <r>
      <rPr>
        <b/>
        <sz val="13"/>
        <color theme="1"/>
        <rFont val="Times New Roman"/>
        <charset val="134"/>
      </rPr>
      <t xml:space="preserve">  </t>
    </r>
    <r>
      <rPr>
        <b/>
        <sz val="13"/>
        <color theme="1"/>
        <rFont val="宋体"/>
        <charset val="134"/>
      </rPr>
      <t>方 ：</t>
    </r>
  </si>
  <si>
    <r>
      <rPr>
        <b/>
        <sz val="13"/>
        <color theme="1"/>
        <rFont val="宋体"/>
        <charset val="134"/>
      </rPr>
      <t>集萃新材料研发有限公司</t>
    </r>
  </si>
  <si>
    <r>
      <rPr>
        <sz val="13"/>
        <rFont val="Times New Roman"/>
        <charset val="134"/>
      </rPr>
      <t xml:space="preserve">    </t>
    </r>
    <r>
      <rPr>
        <sz val="13"/>
        <rFont val="宋体"/>
        <charset val="134"/>
      </rPr>
      <t>在甲乙双方平等自愿、协商一致的原则下，根据甲方要求已完成分析测试服务，截至</t>
    </r>
    <r>
      <rPr>
        <sz val="13"/>
        <rFont val="Times New Roman"/>
        <charset val="134"/>
      </rPr>
      <t>2026</t>
    </r>
    <r>
      <rPr>
        <sz val="13"/>
        <rFont val="宋体"/>
        <charset val="134"/>
      </rPr>
      <t>年</t>
    </r>
    <r>
      <rPr>
        <sz val="13"/>
        <rFont val="Times New Roman"/>
        <charset val="134"/>
      </rPr>
      <t>03</t>
    </r>
    <r>
      <rPr>
        <sz val="13"/>
        <rFont val="宋体"/>
        <charset val="134"/>
      </rPr>
      <t>月</t>
    </r>
    <r>
      <rPr>
        <sz val="13"/>
        <rFont val="Times New Roman"/>
        <charset val="134"/>
      </rPr>
      <t>04</t>
    </r>
    <r>
      <rPr>
        <sz val="13"/>
        <rFont val="宋体"/>
        <charset val="134"/>
      </rPr>
      <t>日，甲方测试清单及收费情况总如下。</t>
    </r>
  </si>
  <si>
    <r>
      <rPr>
        <b/>
        <sz val="13"/>
        <color theme="1"/>
        <rFont val="宋体"/>
        <charset val="134"/>
      </rPr>
      <t>测试清单及收费详表</t>
    </r>
  </si>
  <si>
    <r>
      <rPr>
        <b/>
        <sz val="12"/>
        <color rgb="FF000000"/>
        <rFont val="宋体"/>
        <charset val="134"/>
      </rPr>
      <t>收样日期</t>
    </r>
  </si>
  <si>
    <r>
      <rPr>
        <b/>
        <sz val="12"/>
        <color rgb="FF000000"/>
        <rFont val="宋体"/>
        <charset val="134"/>
      </rPr>
      <t>任务编号</t>
    </r>
  </si>
  <si>
    <r>
      <rPr>
        <b/>
        <sz val="12"/>
        <color rgb="FF000000"/>
        <rFont val="宋体"/>
        <charset val="134"/>
      </rPr>
      <t>测试项目</t>
    </r>
  </si>
  <si>
    <t>单价</t>
  </si>
  <si>
    <t>折扣</t>
  </si>
  <si>
    <r>
      <rPr>
        <b/>
        <sz val="12"/>
        <color rgb="FF000000"/>
        <rFont val="宋体"/>
        <charset val="134"/>
      </rPr>
      <t>数量</t>
    </r>
  </si>
  <si>
    <r>
      <t xml:space="preserve">总价（元）
</t>
    </r>
    <r>
      <rPr>
        <b/>
        <sz val="11"/>
        <color rgb="FFFF0000"/>
        <rFont val="宋体"/>
        <charset val="134"/>
      </rPr>
      <t>（按照业务报价计算的理论价格，含加急倍数）</t>
    </r>
  </si>
  <si>
    <r>
      <t xml:space="preserve">优惠后价格（元）
</t>
    </r>
    <r>
      <rPr>
        <b/>
        <sz val="11"/>
        <color rgb="FFFF0000"/>
        <rFont val="宋体"/>
        <charset val="134"/>
      </rPr>
      <t>（LIMS业务确认后价格）</t>
    </r>
  </si>
  <si>
    <r>
      <t xml:space="preserve">备注
</t>
    </r>
    <r>
      <rPr>
        <b/>
        <sz val="11"/>
        <color rgb="FFFF0000"/>
        <rFont val="宋体"/>
        <charset val="134"/>
      </rPr>
      <t>（自动带出加急倍数）</t>
    </r>
  </si>
  <si>
    <t>JC25050272</t>
  </si>
  <si>
    <t>磨抛制样</t>
  </si>
  <si>
    <t>元/样</t>
  </si>
  <si>
    <t>样</t>
  </si>
  <si>
    <t xml:space="preserve"> JC25050272</t>
  </si>
  <si>
    <t>SEM</t>
  </si>
  <si>
    <t>元/小时</t>
  </si>
  <si>
    <t>小时</t>
  </si>
  <si>
    <t>氩离子抛光</t>
  </si>
  <si>
    <t>JC25050053</t>
  </si>
  <si>
    <t>FIB</t>
  </si>
  <si>
    <r>
      <t>1.5</t>
    </r>
    <r>
      <rPr>
        <sz val="12"/>
        <rFont val="宋体"/>
        <charset val="134"/>
      </rPr>
      <t>倍加急</t>
    </r>
  </si>
  <si>
    <t>TEM</t>
  </si>
  <si>
    <r>
      <rPr>
        <sz val="12"/>
        <rFont val="宋体"/>
        <charset val="134"/>
      </rPr>
      <t>磨抛腐蚀</t>
    </r>
  </si>
  <si>
    <t>JC25090576</t>
  </si>
  <si>
    <t>EPMA</t>
  </si>
  <si>
    <t>JC26010376</t>
  </si>
  <si>
    <t>DSC</t>
  </si>
  <si>
    <t>JC26010133</t>
  </si>
  <si>
    <t>金相制样</t>
  </si>
  <si>
    <t>JC26010155</t>
  </si>
  <si>
    <t>JC26020383</t>
  </si>
  <si>
    <t>未税合计（元）</t>
  </si>
  <si>
    <r>
      <rPr>
        <sz val="12"/>
        <color rgb="FF000000"/>
        <rFont val="Times New Roman"/>
        <charset val="134"/>
      </rPr>
      <t>6%</t>
    </r>
    <r>
      <rPr>
        <sz val="12"/>
        <color rgb="FF000000"/>
        <rFont val="宋体"/>
        <charset val="134"/>
      </rPr>
      <t>税费（元）</t>
    </r>
  </si>
  <si>
    <r>
      <rPr>
        <sz val="12"/>
        <color rgb="FF000000"/>
        <rFont val="宋体"/>
        <charset val="134"/>
      </rPr>
      <t>含税合计（元）</t>
    </r>
  </si>
  <si>
    <t>优惠后合计（元）</t>
  </si>
  <si>
    <t>大写金额</t>
  </si>
  <si>
    <t>前述价款已包含相应检测、税费、管理费和报告费用；除此之外，甲方不再向乙方支付任何费用。</t>
  </si>
  <si>
    <r>
      <t>测试及收费情况汇总如上，请贵公司予以确认后5个工作日内回复，我司开具发票。</t>
    </r>
    <r>
      <rPr>
        <sz val="13"/>
        <color theme="1"/>
        <rFont val="Times New Roman"/>
        <charset val="134"/>
      </rPr>
      <t xml:space="preserve">
</t>
    </r>
    <r>
      <rPr>
        <sz val="13"/>
        <color theme="1"/>
        <rFont val="宋体"/>
        <charset val="134"/>
      </rPr>
      <t>收款账号：</t>
    </r>
    <r>
      <rPr>
        <sz val="13"/>
        <color theme="1"/>
        <rFont val="Times New Roman"/>
        <charset val="134"/>
      </rPr>
      <t xml:space="preserve">
</t>
    </r>
    <r>
      <rPr>
        <sz val="13"/>
        <color theme="1"/>
        <rFont val="宋体"/>
        <charset val="134"/>
      </rPr>
      <t>单位名称：集萃新材料研发有限公司</t>
    </r>
    <r>
      <rPr>
        <sz val="13"/>
        <color theme="1"/>
        <rFont val="Times New Roman"/>
        <charset val="134"/>
      </rPr>
      <t xml:space="preserve">
</t>
    </r>
    <r>
      <rPr>
        <sz val="13"/>
        <color theme="1"/>
        <rFont val="宋体"/>
        <charset val="134"/>
      </rPr>
      <t>银行账号：</t>
    </r>
    <r>
      <rPr>
        <sz val="13"/>
        <color theme="1"/>
        <rFont val="Times New Roman"/>
        <charset val="134"/>
      </rPr>
      <t xml:space="preserve">32250199743600002427
</t>
    </r>
    <r>
      <rPr>
        <sz val="13"/>
        <color theme="1"/>
        <rFont val="宋体"/>
        <charset val="134"/>
      </rPr>
      <t>开户银行：</t>
    </r>
    <r>
      <rPr>
        <sz val="13"/>
        <color theme="1"/>
        <rFont val="Times New Roman"/>
        <charset val="134"/>
      </rPr>
      <t xml:space="preserve"> </t>
    </r>
    <r>
      <rPr>
        <sz val="13"/>
        <color theme="1"/>
        <rFont val="宋体"/>
        <charset val="134"/>
      </rPr>
      <t>中国建设银行股份有限公司苏州高铁新城支行</t>
    </r>
  </si>
  <si>
    <r>
      <rPr>
        <sz val="13"/>
        <color theme="1"/>
        <rFont val="宋体"/>
        <charset val="134"/>
      </rPr>
      <t>集萃新材料研发有限公司</t>
    </r>
  </si>
  <si>
    <t>2026.01.16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</si>
</sst>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\¥#,##0.00;\¥\-#,##0.00"/>
    <numFmt numFmtId="178" formatCode="[DBNum2][$RMB]General;[Red][DBNum2][$RMB]General"/>
  </numFmts>
  <fonts count="39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26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3"/>
      <color theme="1"/>
      <name val="宋体"/>
      <charset val="134"/>
    </font>
    <font>
      <sz val="13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3"/>
      <color theme="1"/>
      <name val="宋体"/>
      <charset val="134"/>
    </font>
    <font>
      <sz val="13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宋体"/>
      <charset val="134"/>
    </font>
    <font>
      <b/>
      <sz val="26"/>
      <color theme="1"/>
      <name val="宋体"/>
      <charset val="134"/>
    </font>
    <font>
      <sz val="13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6" borderId="14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7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vertical="distributed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distributed" wrapText="1"/>
    </xf>
    <xf numFmtId="0" fontId="3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9" fillId="3" borderId="8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77" fontId="13" fillId="0" borderId="2" xfId="0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178" fontId="13" fillId="0" borderId="6" xfId="0" applyNumberFormat="1" applyFont="1" applyBorder="1" applyAlignment="1">
      <alignment horizontal="center" vertical="center"/>
    </xf>
    <xf numFmtId="178" fontId="13" fillId="0" borderId="9" xfId="0" applyNumberFormat="1" applyFont="1" applyBorder="1" applyAlignment="1">
      <alignment horizontal="center" vertical="center"/>
    </xf>
    <xf numFmtId="178" fontId="13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 indent="2"/>
    </xf>
    <xf numFmtId="0" fontId="13" fillId="0" borderId="9" xfId="0" applyFont="1" applyBorder="1" applyAlignment="1">
      <alignment horizontal="left" vertical="center" wrapText="1" indent="2"/>
    </xf>
    <xf numFmtId="0" fontId="13" fillId="0" borderId="7" xfId="0" applyFont="1" applyBorder="1" applyAlignment="1">
      <alignment horizontal="left" vertical="center" wrapText="1" indent="2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310515</xdr:colOff>
      <xdr:row>29</xdr:row>
      <xdr:rowOff>1180465</xdr:rowOff>
    </xdr:from>
    <xdr:to>
      <xdr:col>10</xdr:col>
      <xdr:colOff>236220</xdr:colOff>
      <xdr:row>32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7555" y="13780135"/>
          <a:ext cx="1750060" cy="1718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5"/>
  <sheetViews>
    <sheetView showGridLines="0" tabSelected="1" view="pageLayout" zoomScale="85" zoomScaleSheetLayoutView="85" zoomScaleNormal="100" topLeftCell="A4" workbookViewId="0">
      <selection activeCell="M8" sqref="M8"/>
    </sheetView>
  </sheetViews>
  <sheetFormatPr defaultColWidth="8.875" defaultRowHeight="15"/>
  <cols>
    <col min="1" max="1" width="11" style="2" customWidth="1"/>
    <col min="2" max="2" width="15.375" style="2" customWidth="1"/>
    <col min="3" max="3" width="14.85" style="2" customWidth="1"/>
    <col min="4" max="4" width="6.875" style="2" customWidth="1"/>
    <col min="5" max="5" width="10.5583333333333" style="2" customWidth="1"/>
    <col min="6" max="6" width="8.5" style="2" customWidth="1"/>
    <col min="7" max="8" width="5.375" style="2" customWidth="1"/>
    <col min="9" max="9" width="9.375" style="2" customWidth="1"/>
    <col min="10" max="10" width="9.19166666666667" style="2" customWidth="1"/>
    <col min="11" max="11" width="15.4666666666667" style="2" customWidth="1"/>
    <col min="12" max="12" width="16.075" style="2" customWidth="1"/>
    <col min="13" max="13" width="8.40833333333333" style="2" customWidth="1"/>
    <col min="14" max="16384" width="8.875" style="2"/>
  </cols>
  <sheetData>
    <row r="1" ht="57.6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3.6" customHeight="1" spans="1:13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ht="24.95" customHeight="1" spans="1:13">
      <c r="A3" s="4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ht="10.7" customHeight="1"/>
    <row r="5" s="1" customFormat="1" ht="45" customHeight="1" spans="1:13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39.6" customHeight="1" spans="1:13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="1" customFormat="1" ht="69" customHeight="1" spans="1:13">
      <c r="A7" s="9" t="s">
        <v>7</v>
      </c>
      <c r="B7" s="9" t="s">
        <v>8</v>
      </c>
      <c r="C7" s="9" t="s">
        <v>9</v>
      </c>
      <c r="D7" s="10" t="s">
        <v>10</v>
      </c>
      <c r="E7" s="11"/>
      <c r="F7" s="12" t="s">
        <v>11</v>
      </c>
      <c r="G7" s="13" t="s">
        <v>12</v>
      </c>
      <c r="H7" s="11"/>
      <c r="I7" s="14" t="s">
        <v>13</v>
      </c>
      <c r="J7" s="15"/>
      <c r="K7" s="16" t="s">
        <v>14</v>
      </c>
      <c r="L7" s="17" t="s">
        <v>15</v>
      </c>
    </row>
    <row r="8" s="1" customFormat="1" ht="35.1" customHeight="1" spans="1:13">
      <c r="A8" s="18">
        <v>45490</v>
      </c>
      <c r="B8" s="19" t="s">
        <v>16</v>
      </c>
      <c r="C8" s="20" t="s">
        <v>17</v>
      </c>
      <c r="D8" s="21">
        <v>100</v>
      </c>
      <c r="E8" s="22" t="s">
        <v>18</v>
      </c>
      <c r="F8" s="23"/>
      <c r="G8" s="21">
        <v>1</v>
      </c>
      <c r="H8" s="24" t="s">
        <v>19</v>
      </c>
      <c r="I8" s="25">
        <f>D8*G8</f>
        <v>100</v>
      </c>
      <c r="J8" s="24"/>
      <c r="K8" s="24">
        <v>80</v>
      </c>
      <c r="L8" s="22"/>
    </row>
    <row r="9" s="1" customFormat="1" ht="35.1" customHeight="1" spans="1:13">
      <c r="A9" s="18">
        <v>45490</v>
      </c>
      <c r="B9" s="26" t="s">
        <v>20</v>
      </c>
      <c r="C9" s="20" t="s">
        <v>21</v>
      </c>
      <c r="D9" s="21">
        <v>600</v>
      </c>
      <c r="E9" s="22" t="s">
        <v>22</v>
      </c>
      <c r="F9" s="23"/>
      <c r="G9" s="21">
        <v>1</v>
      </c>
      <c r="H9" s="24" t="s">
        <v>23</v>
      </c>
      <c r="I9" s="25">
        <f>D9*G9</f>
        <v>600</v>
      </c>
      <c r="J9" s="24"/>
      <c r="K9" s="24">
        <v>560</v>
      </c>
      <c r="L9" s="24"/>
    </row>
    <row r="10" s="1" customFormat="1" ht="35.1" customHeight="1" spans="1:13">
      <c r="A10" s="18">
        <v>45490</v>
      </c>
      <c r="B10" s="26" t="s">
        <v>20</v>
      </c>
      <c r="C10" s="20" t="s">
        <v>24</v>
      </c>
      <c r="D10" s="21">
        <v>300</v>
      </c>
      <c r="E10" s="22" t="s">
        <v>22</v>
      </c>
      <c r="F10" s="23"/>
      <c r="G10" s="21">
        <v>1</v>
      </c>
      <c r="H10" s="24" t="s">
        <v>23</v>
      </c>
      <c r="I10" s="25">
        <f>D10*G10</f>
        <v>300</v>
      </c>
      <c r="J10" s="24"/>
      <c r="K10" s="24">
        <v>200</v>
      </c>
      <c r="L10" s="22"/>
    </row>
    <row r="11" s="1" customFormat="1" ht="35.1" customHeight="1" spans="1:13">
      <c r="A11" s="18">
        <v>45775</v>
      </c>
      <c r="B11" s="19" t="s">
        <v>25</v>
      </c>
      <c r="C11" s="20" t="s">
        <v>26</v>
      </c>
      <c r="D11" s="21">
        <v>2000</v>
      </c>
      <c r="E11" s="22" t="s">
        <v>22</v>
      </c>
      <c r="F11" s="23"/>
      <c r="G11" s="21">
        <v>4</v>
      </c>
      <c r="H11" s="24" t="s">
        <v>23</v>
      </c>
      <c r="I11" s="25">
        <f>D11*G11*1.5</f>
        <v>12000</v>
      </c>
      <c r="J11" s="24"/>
      <c r="K11" s="24">
        <v>10000</v>
      </c>
      <c r="L11" s="24" t="s">
        <v>27</v>
      </c>
    </row>
    <row r="12" customFormat="1" ht="32.1" customHeight="1" spans="1:13">
      <c r="A12" s="18">
        <v>45775</v>
      </c>
      <c r="B12" s="19" t="s">
        <v>25</v>
      </c>
      <c r="C12" s="20" t="s">
        <v>28</v>
      </c>
      <c r="D12" s="21">
        <v>1200</v>
      </c>
      <c r="E12" s="22" t="s">
        <v>22</v>
      </c>
      <c r="F12" s="23"/>
      <c r="G12" s="21">
        <v>5</v>
      </c>
      <c r="H12" s="24" t="s">
        <v>23</v>
      </c>
      <c r="I12" s="25">
        <f>D12*G12*1.5</f>
        <v>9000</v>
      </c>
      <c r="J12" s="24"/>
      <c r="K12" s="24">
        <v>9000</v>
      </c>
      <c r="L12" s="24" t="s">
        <v>27</v>
      </c>
      <c r="M12" s="27"/>
    </row>
    <row r="13" customFormat="1" ht="32.1" customHeight="1" spans="1:13">
      <c r="A13" s="18">
        <v>45775</v>
      </c>
      <c r="B13" s="19" t="s">
        <v>25</v>
      </c>
      <c r="C13" s="20" t="s">
        <v>29</v>
      </c>
      <c r="D13" s="21">
        <v>300</v>
      </c>
      <c r="E13" s="22" t="s">
        <v>18</v>
      </c>
      <c r="F13" s="23"/>
      <c r="G13" s="21">
        <v>4</v>
      </c>
      <c r="H13" s="24" t="s">
        <v>19</v>
      </c>
      <c r="I13" s="25">
        <f>D13*G13*1.5</f>
        <v>1800</v>
      </c>
      <c r="J13" s="24"/>
      <c r="K13" s="24">
        <v>1800</v>
      </c>
      <c r="L13" s="24" t="s">
        <v>27</v>
      </c>
      <c r="M13" s="27"/>
    </row>
    <row r="14" customFormat="1" ht="32.1" customHeight="1" spans="1:13">
      <c r="A14" s="18">
        <v>45775</v>
      </c>
      <c r="B14" s="19" t="s">
        <v>25</v>
      </c>
      <c r="C14" s="20" t="s">
        <v>21</v>
      </c>
      <c r="D14" s="21">
        <v>600</v>
      </c>
      <c r="E14" s="22" t="s">
        <v>22</v>
      </c>
      <c r="F14" s="23"/>
      <c r="G14" s="21">
        <v>1.5</v>
      </c>
      <c r="H14" s="24" t="s">
        <v>23</v>
      </c>
      <c r="I14" s="25">
        <f>D14*G14*1.5</f>
        <v>1350</v>
      </c>
      <c r="J14" s="24"/>
      <c r="K14" s="24">
        <v>1200</v>
      </c>
      <c r="L14" s="24" t="s">
        <v>27</v>
      </c>
      <c r="M14" s="27"/>
    </row>
    <row r="15" customFormat="1" ht="30" customHeight="1" spans="1:13">
      <c r="A15" s="18">
        <v>45915</v>
      </c>
      <c r="B15" s="19" t="s">
        <v>30</v>
      </c>
      <c r="C15" s="20" t="s">
        <v>31</v>
      </c>
      <c r="D15" s="21">
        <v>1000</v>
      </c>
      <c r="E15" s="22" t="s">
        <v>22</v>
      </c>
      <c r="F15" s="23"/>
      <c r="G15" s="21">
        <v>9.5</v>
      </c>
      <c r="H15" s="24" t="s">
        <v>23</v>
      </c>
      <c r="I15" s="25">
        <f t="shared" ref="I15:I19" si="0">D15*G15</f>
        <v>9500</v>
      </c>
      <c r="J15" s="24"/>
      <c r="K15" s="24">
        <v>9000</v>
      </c>
      <c r="L15" s="24"/>
      <c r="M15" s="27"/>
    </row>
    <row r="16" customFormat="1" ht="30" customHeight="1" spans="1:13">
      <c r="A16" s="18">
        <v>46015</v>
      </c>
      <c r="B16" s="19" t="s">
        <v>32</v>
      </c>
      <c r="C16" s="20" t="s">
        <v>33</v>
      </c>
      <c r="D16" s="21">
        <v>200</v>
      </c>
      <c r="E16" s="22" t="s">
        <v>22</v>
      </c>
      <c r="F16" s="23"/>
      <c r="G16" s="21">
        <v>64</v>
      </c>
      <c r="H16" s="24" t="s">
        <v>23</v>
      </c>
      <c r="I16" s="25">
        <f t="shared" si="0"/>
        <v>12800</v>
      </c>
      <c r="J16" s="24"/>
      <c r="K16" s="24">
        <v>12800</v>
      </c>
      <c r="L16" s="24" t="s">
        <v>27</v>
      </c>
      <c r="M16" s="27"/>
    </row>
    <row r="17" customFormat="1" ht="30" customHeight="1" spans="1:13">
      <c r="A17" s="18">
        <v>46027</v>
      </c>
      <c r="B17" s="19" t="s">
        <v>34</v>
      </c>
      <c r="C17" s="28" t="s">
        <v>35</v>
      </c>
      <c r="D17" s="21">
        <v>700</v>
      </c>
      <c r="E17" s="22" t="s">
        <v>18</v>
      </c>
      <c r="F17" s="23"/>
      <c r="G17" s="21">
        <v>1</v>
      </c>
      <c r="H17" s="24" t="s">
        <v>19</v>
      </c>
      <c r="I17" s="25">
        <f t="shared" si="0"/>
        <v>700</v>
      </c>
      <c r="J17" s="24"/>
      <c r="K17" s="24">
        <v>600</v>
      </c>
      <c r="L17" s="24"/>
      <c r="M17" s="27"/>
    </row>
    <row r="18" customFormat="1" ht="30" customHeight="1" spans="1:13">
      <c r="A18" s="18">
        <v>46027</v>
      </c>
      <c r="B18" s="19" t="s">
        <v>34</v>
      </c>
      <c r="C18" s="20" t="s">
        <v>31</v>
      </c>
      <c r="D18" s="21">
        <v>1000</v>
      </c>
      <c r="E18" s="22" t="s">
        <v>22</v>
      </c>
      <c r="F18" s="23"/>
      <c r="G18" s="21">
        <v>15.5</v>
      </c>
      <c r="H18" s="24" t="s">
        <v>23</v>
      </c>
      <c r="I18" s="25">
        <f>D18*G18*1.5</f>
        <v>23250</v>
      </c>
      <c r="J18" s="24"/>
      <c r="K18" s="24">
        <v>23000</v>
      </c>
      <c r="L18" s="24"/>
      <c r="M18" s="27"/>
    </row>
    <row r="19" customFormat="1" ht="30" customHeight="1" spans="1:13">
      <c r="A19" s="18">
        <v>46028</v>
      </c>
      <c r="B19" s="19" t="s">
        <v>36</v>
      </c>
      <c r="C19" s="28" t="s">
        <v>35</v>
      </c>
      <c r="D19" s="21">
        <v>700</v>
      </c>
      <c r="E19" s="22" t="s">
        <v>18</v>
      </c>
      <c r="F19" s="23"/>
      <c r="G19" s="21">
        <v>7</v>
      </c>
      <c r="H19" s="24" t="s">
        <v>19</v>
      </c>
      <c r="I19" s="25">
        <f t="shared" si="0"/>
        <v>4900</v>
      </c>
      <c r="J19" s="24"/>
      <c r="K19" s="24">
        <v>0</v>
      </c>
      <c r="L19" s="24"/>
      <c r="M19" s="27"/>
    </row>
    <row r="20" customFormat="1" ht="30" customHeight="1" spans="1:13">
      <c r="A20" s="18">
        <v>46028</v>
      </c>
      <c r="B20" s="19" t="s">
        <v>36</v>
      </c>
      <c r="C20" s="20" t="s">
        <v>31</v>
      </c>
      <c r="D20" s="21">
        <v>1000</v>
      </c>
      <c r="E20" s="22" t="s">
        <v>22</v>
      </c>
      <c r="F20" s="23"/>
      <c r="G20" s="21">
        <v>19</v>
      </c>
      <c r="H20" s="24" t="s">
        <v>23</v>
      </c>
      <c r="I20" s="25">
        <f>D20*G20*1.5</f>
        <v>28500</v>
      </c>
      <c r="J20" s="24"/>
      <c r="K20" s="24">
        <v>0</v>
      </c>
      <c r="L20" s="24"/>
      <c r="M20" s="27"/>
    </row>
    <row r="21" customFormat="1" ht="30" customHeight="1" spans="1:13">
      <c r="A21" s="18">
        <v>46059</v>
      </c>
      <c r="B21" s="19" t="s">
        <v>37</v>
      </c>
      <c r="C21" s="20" t="s">
        <v>21</v>
      </c>
      <c r="D21" s="21">
        <v>600</v>
      </c>
      <c r="E21" s="22" t="s">
        <v>22</v>
      </c>
      <c r="F21" s="23"/>
      <c r="G21" s="21">
        <v>1.5</v>
      </c>
      <c r="H21" s="24" t="s">
        <v>23</v>
      </c>
      <c r="I21" s="25">
        <f>D21*G21*1.5</f>
        <v>1350</v>
      </c>
      <c r="J21" s="24"/>
      <c r="K21" s="24">
        <v>0</v>
      </c>
      <c r="L21" s="24"/>
      <c r="M21" s="27"/>
    </row>
    <row r="22" customFormat="1" ht="30" customHeight="1" spans="1:13">
      <c r="A22" s="18">
        <v>46059</v>
      </c>
      <c r="B22" s="19" t="s">
        <v>37</v>
      </c>
      <c r="C22" s="20" t="s">
        <v>26</v>
      </c>
      <c r="D22" s="21">
        <v>2000</v>
      </c>
      <c r="E22" s="22" t="s">
        <v>22</v>
      </c>
      <c r="F22" s="23"/>
      <c r="G22" s="21">
        <v>19</v>
      </c>
      <c r="H22" s="24" t="s">
        <v>23</v>
      </c>
      <c r="I22" s="25">
        <f>D22*G22*1.5</f>
        <v>57000</v>
      </c>
      <c r="J22" s="24"/>
      <c r="K22" s="24">
        <v>0</v>
      </c>
      <c r="L22" s="24"/>
      <c r="M22" s="27"/>
    </row>
    <row r="23" customFormat="1" ht="30" customHeight="1" spans="1:13">
      <c r="A23" s="18">
        <v>46059</v>
      </c>
      <c r="B23" s="19" t="s">
        <v>37</v>
      </c>
      <c r="C23" s="20" t="s">
        <v>28</v>
      </c>
      <c r="D23" s="21">
        <v>1200</v>
      </c>
      <c r="E23" s="22" t="s">
        <v>22</v>
      </c>
      <c r="F23" s="23"/>
      <c r="G23" s="21">
        <v>10</v>
      </c>
      <c r="H23" s="24" t="s">
        <v>23</v>
      </c>
      <c r="I23" s="25">
        <f>D23*G23*1.5</f>
        <v>18000</v>
      </c>
      <c r="J23" s="24"/>
      <c r="K23" s="24">
        <v>0</v>
      </c>
      <c r="L23" s="24"/>
      <c r="M23" s="27"/>
    </row>
    <row r="24" customFormat="1" ht="30" customHeight="1" spans="1:13">
      <c r="A24" s="29" t="s">
        <v>38</v>
      </c>
      <c r="B24" s="30"/>
      <c r="C24" s="31"/>
      <c r="D24" s="32">
        <f>SUM(K8:K23)</f>
        <v>68240</v>
      </c>
      <c r="E24" s="32"/>
      <c r="F24" s="32"/>
      <c r="G24" s="32"/>
      <c r="H24" s="32"/>
      <c r="I24" s="32"/>
      <c r="J24" s="32"/>
      <c r="K24" s="32"/>
      <c r="L24" s="32"/>
      <c r="M24" s="27"/>
    </row>
    <row r="25" customFormat="1" ht="30" customHeight="1" spans="1:13">
      <c r="A25" s="33" t="s">
        <v>39</v>
      </c>
      <c r="B25" s="30"/>
      <c r="C25" s="31"/>
      <c r="D25" s="32">
        <f>D24*0.06</f>
        <v>4094.4</v>
      </c>
      <c r="E25" s="32"/>
      <c r="F25" s="32"/>
      <c r="G25" s="32"/>
      <c r="H25" s="32"/>
      <c r="I25" s="32"/>
      <c r="J25" s="32"/>
      <c r="K25" s="32"/>
      <c r="L25" s="32"/>
      <c r="M25" s="2"/>
    </row>
    <row r="26" customFormat="1" ht="30" customHeight="1" spans="1:13">
      <c r="A26" s="33" t="s">
        <v>40</v>
      </c>
      <c r="B26" s="30"/>
      <c r="C26" s="31"/>
      <c r="D26" s="32">
        <f>D24+D25</f>
        <v>72334.4</v>
      </c>
      <c r="E26" s="32"/>
      <c r="F26" s="32"/>
      <c r="G26" s="32"/>
      <c r="H26" s="32"/>
      <c r="I26" s="32"/>
      <c r="J26" s="32"/>
      <c r="K26" s="32"/>
      <c r="L26" s="32"/>
      <c r="M26" s="2"/>
    </row>
    <row r="27" customFormat="1" ht="30" customHeight="1" spans="1:13">
      <c r="A27" s="29" t="s">
        <v>41</v>
      </c>
      <c r="B27" s="30"/>
      <c r="C27" s="31"/>
      <c r="D27" s="32">
        <f>D26*0.95</f>
        <v>68717.68</v>
      </c>
      <c r="E27" s="32"/>
      <c r="F27" s="32"/>
      <c r="G27" s="32"/>
      <c r="H27" s="32"/>
      <c r="I27" s="32"/>
      <c r="J27" s="32"/>
      <c r="K27" s="32"/>
      <c r="L27" s="32"/>
      <c r="M27" s="2"/>
    </row>
    <row r="28" ht="30" customHeight="1" spans="1:13">
      <c r="A28" s="29" t="s">
        <v>42</v>
      </c>
      <c r="B28" s="30"/>
      <c r="C28" s="31"/>
      <c r="D28" s="34">
        <f>D27</f>
        <v>68717.68</v>
      </c>
      <c r="E28" s="35"/>
      <c r="F28" s="35"/>
      <c r="G28" s="35"/>
      <c r="H28" s="35"/>
      <c r="I28" s="35"/>
      <c r="J28" s="35"/>
      <c r="K28" s="35"/>
      <c r="L28" s="36"/>
    </row>
    <row r="29" ht="54.95" customHeight="1" spans="1:13">
      <c r="A29" s="37" t="s">
        <v>43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ht="119" customHeight="1" spans="1:13">
      <c r="A30" s="40" t="s">
        <v>44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</row>
    <row r="31" ht="62" customHeight="1" spans="1:13">
      <c r="A31" s="42" t="s">
        <v>45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ht="29" customHeight="1" spans="1:13">
      <c r="A32" s="43" t="s">
        <v>46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ht="92.1" customHeight="1"/>
    <row r="34" ht="30" customHeight="1"/>
    <row r="35" ht="30" customHeight="1"/>
  </sheetData>
  <mergeCells count="38">
    <mergeCell ref="A1:L1"/>
    <mergeCell ref="B2:L2"/>
    <mergeCell ref="B3:L3"/>
    <mergeCell ref="A5:L5"/>
    <mergeCell ref="A6:L6"/>
    <mergeCell ref="D7:E7"/>
    <mergeCell ref="G7:H7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A24:C24"/>
    <mergeCell ref="D24:L24"/>
    <mergeCell ref="A25:C25"/>
    <mergeCell ref="D25:L25"/>
    <mergeCell ref="A26:C26"/>
    <mergeCell ref="D26:L26"/>
    <mergeCell ref="A27:C27"/>
    <mergeCell ref="D27:L27"/>
    <mergeCell ref="A28:C28"/>
    <mergeCell ref="D28:L28"/>
    <mergeCell ref="A29:L29"/>
    <mergeCell ref="A30:L30"/>
    <mergeCell ref="A31:L31"/>
    <mergeCell ref="A32:L32"/>
  </mergeCells>
  <dataValidations count="2">
    <dataValidation type="list" allowBlank="1" showInputMessage="1" showErrorMessage="1" sqref="H8:H23">
      <formula1>"样,小时,次,点"</formula1>
    </dataValidation>
    <dataValidation type="list" allowBlank="1" showInputMessage="1" showErrorMessage="1" sqref="E8:F23">
      <formula1>"元/样,元/小时,元/次,元/点"</formula1>
    </dataValidation>
  </dataValidations>
  <pageMargins left="0.329166666666667" right="0.7" top="0.188194444444444" bottom="0.75" header="0.3" footer="0.3"/>
  <pageSetup paperSize="9" scale="66" fitToHeight="0" orientation="portrait"/>
  <headerFooter/>
  <ignoredErrors>
    <ignoredError sqref="I18:I1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</dc:creator>
  <cp:lastModifiedBy>WF.Xu</cp:lastModifiedBy>
  <dcterms:created xsi:type="dcterms:W3CDTF">2015-06-05T18:19:00Z</dcterms:created>
  <cp:lastPrinted>2021-04-12T06:12:00Z</cp:lastPrinted>
  <dcterms:modified xsi:type="dcterms:W3CDTF">2026-06-04T10:28:59Z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963FB7EF79D641EEA31177470766280B_13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